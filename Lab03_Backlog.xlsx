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BS" sheetId="2" state="visible" r:id="rId4"/>
    <sheet name="Backlog" sheetId="3" state="visible" r:id="rId5"/>
    <sheet name="Defences" sheetId="4" state="visible" r:id="rId6"/>
    <sheet name="Local_Gap" sheetId="5" state="visible" r:id="rId7"/>
    <sheet name="Prompt_Ledg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<sst xmlns="http://schemas.openxmlformats.org/spreadsheetml/2006/main" count="177" uniqueCount="150">
  <si>
    <t xml:space="preserve">Lab 3 - Planning Backlog (spreadsheet tool)</t>
  </si>
  <si>
    <t xml:space="preserve">Zainab | SP24-BSE-034 | Campus Event Management System</t>
  </si>
  <si>
    <t xml:space="preserve">Blue text = cells you should edit with your own session data. Black = fixed content or formulas.</t>
  </si>
  <si>
    <t xml:space="preserve">Sheets: WBS (Task 1), Backlog + Defences (Task 2), Local_Gap (Task 3), Prompt_Ledger (Task 4).</t>
  </si>
  <si>
    <t xml:space="preserve">Sample rows are filled in as examples. Replace them with your real model outputs before submitting.</t>
  </si>
  <si>
    <t xml:space="preserve">Versioning: this plan is tracked in the Git repo (see lab3 folder), as the lab requires.</t>
  </si>
  <si>
    <t xml:space="preserve">Task 1 - Reconciled Work-Breakdown Structure</t>
  </si>
  <si>
    <t xml:space="preserve">Module</t>
  </si>
  <si>
    <t xml:space="preserve">Task</t>
  </si>
  <si>
    <t xml:space="preserve">Brief phrase / tag</t>
  </si>
  <si>
    <t xml:space="preserve">ADDED reason</t>
  </si>
  <si>
    <t xml:space="preserve">1 Auth &amp; Accounts</t>
  </si>
  <si>
    <t xml:space="preserve">1.1 Account creation and login</t>
  </si>
  <si>
    <t xml:space="preserve">ADDED</t>
  </si>
  <si>
    <t xml:space="preserve">Brief never mentions accounts, but students and admins must be told apart</t>
  </si>
  <si>
    <t xml:space="preserve">1.2 Role-based access (student/admin)</t>
  </si>
  <si>
    <t xml:space="preserve">"admins add and remove events"</t>
  </si>
  <si>
    <t xml:space="preserve">1.3 Session-token handling</t>
  </si>
  <si>
    <t xml:space="preserve">Omitted by the model; needed by every logged-in feature</t>
  </si>
  <si>
    <t xml:space="preserve">2 Event Catalogue</t>
  </si>
  <si>
    <t xml:space="preserve">2.1 Event data model (title, date, venue, capacity)</t>
  </si>
  <si>
    <t xml:space="preserve">"browse events"</t>
  </si>
  <si>
    <t xml:space="preserve">2.2 Event listing / browse page</t>
  </si>
  <si>
    <t xml:space="preserve">"students browse events"</t>
  </si>
  <si>
    <t xml:space="preserve">2.3 Search and filter</t>
  </si>
  <si>
    <t xml:space="preserve">Browsing becomes unusable as the list grows</t>
  </si>
  <si>
    <t xml:space="preserve">3 Registration</t>
  </si>
  <si>
    <t xml:space="preserve">3.1 Register for an event</t>
  </si>
  <si>
    <t xml:space="preserve">"register"</t>
  </si>
  <si>
    <t xml:space="preserve">3.2 Seat-capacity check</t>
  </si>
  <si>
    <t xml:space="preserve">Prevents over-booking</t>
  </si>
  <si>
    <t xml:space="preserve">3.3 Cancel a registration</t>
  </si>
  <si>
    <t xml:space="preserve">Omitted by the model; counts drift without it</t>
  </si>
  <si>
    <t xml:space="preserve">3.4 View my registrations</t>
  </si>
  <si>
    <t xml:space="preserve">Students need to see their sign-ups</t>
  </si>
  <si>
    <t xml:space="preserve">4 Reminders</t>
  </si>
  <si>
    <t xml:space="preserve">4.1 Reminder scheduling</t>
  </si>
  <si>
    <t xml:space="preserve">"get reminders"</t>
  </si>
  <si>
    <t xml:space="preserve">4.2 Reminder delivery</t>
  </si>
  <si>
    <t xml:space="preserve">5 Admin Console</t>
  </si>
  <si>
    <t xml:space="preserve">5.1 Add an event</t>
  </si>
  <si>
    <t xml:space="preserve">"admins add ... events"</t>
  </si>
  <si>
    <t xml:space="preserve">5.2 Remove an event</t>
  </si>
  <si>
    <t xml:space="preserve">"admins ... remove events"</t>
  </si>
  <si>
    <t xml:space="preserve">5.3 Notify registered students on removal</t>
  </si>
  <si>
    <t xml:space="preserve">Removal after registration leaves students uninformed</t>
  </si>
  <si>
    <t xml:space="preserve">Rows tagged ADDED:</t>
  </si>
  <si>
    <t xml:space="preserve">Invented task (quoted as the model produced it):</t>
  </si>
  <si>
    <t xml:space="preserve">"Payment Gateway Integration: integrate Stripe/JazzCash so students can purchase tickets for paid events."</t>
  </si>
  <si>
    <t xml:space="preserve">Why invented: the brief says nothing about payments, prices or tickets. The model over-read "register for events" as "buy a ticket".</t>
  </si>
  <si>
    <t xml:space="preserve">Omitted by the model: session-token handling; cancel registration; Reminders as its own module.</t>
  </si>
  <si>
    <t xml:space="preserve">Task 2 - Prioritised Backlog (MoSCoW)</t>
  </si>
  <si>
    <t xml:space="preserve">ID</t>
  </si>
  <si>
    <t xml:space="preserve">User story</t>
  </si>
  <si>
    <t xml:space="preserve">MoSCoW</t>
  </si>
  <si>
    <t xml:space="preserve">Justification</t>
  </si>
  <si>
    <t xml:space="preserve">US-01</t>
  </si>
  <si>
    <t xml:space="preserve">As a student, I want to log in so that I can use personalised features.</t>
  </si>
  <si>
    <t xml:space="preserve">Must</t>
  </si>
  <si>
    <t xml:space="preserve">Nothing works without identity</t>
  </si>
  <si>
    <t xml:space="preserve">US-02</t>
  </si>
  <si>
    <t xml:space="preserve">As a student, I want to browse upcoming events so that I can find ones I like.</t>
  </si>
  <si>
    <t xml:space="preserve">Core purpose</t>
  </si>
  <si>
    <t xml:space="preserve">US-03</t>
  </si>
  <si>
    <t xml:space="preserve">As a student, I want to register for an event so that I secure a place.</t>
  </si>
  <si>
    <t xml:space="preserve">US-04</t>
  </si>
  <si>
    <t xml:space="preserve">As a student, I want to cancel my registration so that my spot frees up for someone else.</t>
  </si>
  <si>
    <t xml:space="preserve">Counts drift otherwise</t>
  </si>
  <si>
    <t xml:space="preserve">US-05</t>
  </si>
  <si>
    <t xml:space="preserve">As a student, I want a reminder before an event so that I do not forget.</t>
  </si>
  <si>
    <t xml:space="preserve">Explicit in the brief</t>
  </si>
  <si>
    <t xml:space="preserve">US-06</t>
  </si>
  <si>
    <t xml:space="preserve">As an admin, I want to add an event so that students can register for it.</t>
  </si>
  <si>
    <t xml:space="preserve">Without events the system is empty</t>
  </si>
  <si>
    <t xml:space="preserve">US-07</t>
  </si>
  <si>
    <t xml:space="preserve">As an admin, I want to remove an event so that cancelled events disappear.</t>
  </si>
  <si>
    <t xml:space="preserve">US-08</t>
  </si>
  <si>
    <t xml:space="preserve">As a student, I want to view my registrations so that I can see my schedule.</t>
  </si>
  <si>
    <t xml:space="preserve">Should</t>
  </si>
  <si>
    <t xml:space="preserve">Confirmation message covers launch</t>
  </si>
  <si>
    <t xml:space="preserve">US-09</t>
  </si>
  <si>
    <t xml:space="preserve">As a student, I want a waitlist for full events so that I get a seat if someone cancels.</t>
  </si>
  <si>
    <t xml:space="preserve">Improves fairness, not essential</t>
  </si>
  <si>
    <t xml:space="preserve">US-10</t>
  </si>
  <si>
    <t xml:space="preserve">As a student, I want to choose my reminder channel so that I get alerts where I prefer.</t>
  </si>
  <si>
    <t xml:space="preserve">Could</t>
  </si>
  <si>
    <t xml:space="preserve">Default channel is enough</t>
  </si>
  <si>
    <t xml:space="preserve">US-11</t>
  </si>
  <si>
    <t xml:space="preserve">As an admin, I want to edit an event so that I can fix mistakes.</t>
  </si>
  <si>
    <t xml:space="preserve">Workaround: remove and re-add</t>
  </si>
  <si>
    <t xml:space="preserve">US-12</t>
  </si>
  <si>
    <t xml:space="preserve">As a student, I want to be told when an event I registered for is cancelled so that I do not travel for nothing.</t>
  </si>
  <si>
    <t xml:space="preserve">Closes the cancellation gap</t>
  </si>
  <si>
    <t xml:space="preserve">US-13</t>
  </si>
  <si>
    <t xml:space="preserve">As an admin, I want to export attendance to CSV so that I can report numbers.</t>
  </si>
  <si>
    <t xml:space="preserve">Not needed for launch</t>
  </si>
  <si>
    <t xml:space="preserve">US-14</t>
  </si>
  <si>
    <t xml:space="preserve">As a student, I want to pay for tickets online so that I can join paid events.</t>
  </si>
  <si>
    <t xml:space="preserve">Won't</t>
  </si>
  <si>
    <t xml:space="preserve">Not in the brief; the model's invented task</t>
  </si>
  <si>
    <t xml:space="preserve">US-15</t>
  </si>
  <si>
    <t xml:space="preserve">As an admin, I want slots blocked during Friday prayer and adjusted for Ramadan timings so that events never clash with campus hours.</t>
  </si>
  <si>
    <t xml:space="preserve">Local campus rule (see Local_Gap)</t>
  </si>
  <si>
    <t xml:space="preserve">Summary</t>
  </si>
  <si>
    <t xml:space="preserve">Total</t>
  </si>
  <si>
    <t xml:space="preserve">Must %</t>
  </si>
  <si>
    <t xml:space="preserve">Everything-Must backlogs score at most half, so keep this well below 100%.</t>
  </si>
  <si>
    <t xml:space="preserve">Task 2 - Three defended Must labels</t>
  </si>
  <si>
    <t xml:space="preserve">Must story</t>
  </si>
  <si>
    <t xml:space="preserve">Competing Should/Could story</t>
  </si>
  <si>
    <t xml:space="preserve">Why the Must is Must and the other is not</t>
  </si>
  <si>
    <t xml:space="preserve">US-09 (Should)</t>
  </si>
  <si>
    <t xml:space="preserve">Without cancelling, the seat count can never go back up, so data goes wrong the first time anyone changes their mind. A waitlist only improves fairness on full events.</t>
  </si>
  <si>
    <t xml:space="preserve">US-10 (Could)</t>
  </si>
  <si>
    <t xml:space="preserve">Reminders are named in the brief, so one default reminder must ship. Choosing the channel is an enhancement on a working reminder.</t>
  </si>
  <si>
    <t xml:space="preserve">US-11 (Should)</t>
  </si>
  <si>
    <t xml:space="preserve">With no way to add events there is nothing to browse or register for. Editing can be worked around by removing and re-adding.</t>
  </si>
  <si>
    <t xml:space="preserve">Task 3 - A gap the model cannot see</t>
  </si>
  <si>
    <t xml:space="preserve">Item</t>
  </si>
  <si>
    <t xml:space="preserve">Content</t>
  </si>
  <si>
    <t xml:space="preserve">Requirement</t>
  </si>
  <si>
    <t xml:space="preserve">"Events must not be scheduled during the Friday congregational prayer window, and allowed event hours must change during Ramadan to follow the campus timetable."</t>
  </si>
  <si>
    <t xml:space="preserve">Why no model could produce it</t>
  </si>
  <si>
    <t xml:space="preserve">The exact prayer window and Ramadan timetable are local facts about my campus that appear nowhere in the brief.</t>
  </si>
  <si>
    <t xml:space="preserve">Backlog row</t>
  </si>
  <si>
    <t xml:space="preserve">US-15, Should</t>
  </si>
  <si>
    <t xml:space="preserve">Note</t>
  </si>
  <si>
    <t xml:space="preserve">Replace with a requirement that is genuinely true for your campus.</t>
  </si>
  <si>
    <t xml:space="preserve">Task 4 - Honest prompt ledger</t>
  </si>
  <si>
    <t xml:space="preserve">Replace with your real prompts. Keep at least two failed or superseded attempts.</t>
  </si>
  <si>
    <t xml:space="preserve">#</t>
  </si>
  <si>
    <t xml:space="preserve">Prompt</t>
  </si>
  <si>
    <t xml:space="preserve">Result</t>
  </si>
  <si>
    <t xml:space="preserve">What I changed and why</t>
  </si>
  <si>
    <t xml:space="preserve">Plan a campus event system.</t>
  </si>
  <si>
    <t xml:space="preserve">Failed: vague, generic essay</t>
  </si>
  <si>
    <t xml:space="preserve">Added role, output shape, module count</t>
  </si>
  <si>
    <t xml:space="preserve">Act as a software project planner. Break the Campus Event Management System into 4-6 modules. For each module list 3-5 concrete engineering tasks. Give the result as a nested list.</t>
  </si>
  <si>
    <t xml:space="preserve">Superseded: invented a payment task, skipped session tokens and cancel</t>
  </si>
  <si>
    <t xml:space="preserve">Reconciled by hand; banned inventing tasks</t>
  </si>
  <si>
    <t xml:space="preserve">Same as before, but only include tasks supported by this brief: [brief]. Mark additions as ADDED.</t>
  </si>
  <si>
    <t xml:space="preserve">Better: no payment task, additions labelled</t>
  </si>
  <si>
    <t xml:space="preserve">Moved on to stories</t>
  </si>
  <si>
    <t xml:space="preserve">Rewrite these tasks as user stories in the format 'As a &lt;role&gt;, I want &lt;goal&gt; so that &lt;benefit&gt;.' Then apply MoSCoW prioritisation with a one-line justification per label.</t>
  </si>
  <si>
    <t xml:space="preserve">Worked but labelled almost everything Must</t>
  </si>
  <si>
    <t xml:space="preserve">Asked for justifications and argued by hand</t>
  </si>
  <si>
    <t xml:space="preserve">What did you miss? List risks and gaps in this backlog.</t>
  </si>
  <si>
    <t xml:space="preserve">Found the cancelled-after-registration gap</t>
  </si>
  <si>
    <t xml:space="preserve">Added US-12</t>
  </si>
  <si>
    <t xml:space="preserve">Attempts logged: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</si>
</sst>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F5F73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5F7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F73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8"/>
    <col collapsed="false" customWidth="true" hidden="false" outlineLevel="0" max="3" min="3" style="0" width="34"/>
    <col collapsed="false" customWidth="true" hidden="false" outlineLevel="0" max="4" min="4" style="0" width="56"/>
  </cols>
  <sheetData>
    <row r="1" customFormat="false" ht="16.15" hidden="false" customHeight="false" outlineLevel="0" collapsed="false">
      <c r="A1" s="1" t="s">
        <v>6</v>
      </c>
    </row>
    <row r="3" customFormat="false" ht="15" hidden="false" customHeight="false" outlineLevel="0" collapsed="false">
      <c r="A3" s="4" t="s">
        <v>7</v>
      </c>
      <c r="B3" s="4" t="s">
        <v>8</v>
      </c>
      <c r="C3" s="4" t="s">
        <v>9</v>
      </c>
      <c r="D3" s="4" t="s">
        <v>10</v>
      </c>
    </row>
    <row r="4" customFormat="false" ht="23.85" hidden="false" customHeight="false" outlineLevel="0" collapsed="false">
      <c r="A4" s="5" t="s">
        <v>11</v>
      </c>
      <c r="B4" s="5" t="s">
        <v>12</v>
      </c>
      <c r="C4" s="6" t="s">
        <v>13</v>
      </c>
      <c r="D4" s="6" t="s">
        <v>14</v>
      </c>
    </row>
    <row r="5" customFormat="false" ht="15" hidden="false" customHeight="false" outlineLevel="0" collapsed="false">
      <c r="A5" s="5"/>
      <c r="B5" s="5" t="s">
        <v>15</v>
      </c>
      <c r="C5" s="6" t="s">
        <v>16</v>
      </c>
      <c r="D5" s="6"/>
    </row>
    <row r="6" customFormat="false" ht="15" hidden="false" customHeight="false" outlineLevel="0" collapsed="false">
      <c r="A6" s="5"/>
      <c r="B6" s="5" t="s">
        <v>17</v>
      </c>
      <c r="C6" s="6" t="s">
        <v>13</v>
      </c>
      <c r="D6" s="6" t="s">
        <v>18</v>
      </c>
    </row>
    <row r="7" customFormat="false" ht="15" hidden="false" customHeight="false" outlineLevel="0" collapsed="false">
      <c r="A7" s="5" t="s">
        <v>19</v>
      </c>
      <c r="B7" s="5" t="s">
        <v>20</v>
      </c>
      <c r="C7" s="6" t="s">
        <v>21</v>
      </c>
      <c r="D7" s="6"/>
    </row>
    <row r="8" customFormat="false" ht="15" hidden="false" customHeight="false" outlineLevel="0" collapsed="false">
      <c r="A8" s="5"/>
      <c r="B8" s="5" t="s">
        <v>22</v>
      </c>
      <c r="C8" s="6" t="s">
        <v>23</v>
      </c>
      <c r="D8" s="6"/>
    </row>
    <row r="9" customFormat="false" ht="15" hidden="false" customHeight="false" outlineLevel="0" collapsed="false">
      <c r="A9" s="5"/>
      <c r="B9" s="5" t="s">
        <v>24</v>
      </c>
      <c r="C9" s="6" t="s">
        <v>13</v>
      </c>
      <c r="D9" s="6" t="s">
        <v>25</v>
      </c>
    </row>
    <row r="10" customFormat="false" ht="15" hidden="false" customHeight="false" outlineLevel="0" collapsed="false">
      <c r="A10" s="5" t="s">
        <v>26</v>
      </c>
      <c r="B10" s="5" t="s">
        <v>27</v>
      </c>
      <c r="C10" s="6" t="s">
        <v>28</v>
      </c>
      <c r="D10" s="6"/>
    </row>
    <row r="11" customFormat="false" ht="15" hidden="false" customHeight="false" outlineLevel="0" collapsed="false">
      <c r="A11" s="5"/>
      <c r="B11" s="5" t="s">
        <v>29</v>
      </c>
      <c r="C11" s="6" t="s">
        <v>13</v>
      </c>
      <c r="D11" s="6" t="s">
        <v>30</v>
      </c>
    </row>
    <row r="12" customFormat="false" ht="15" hidden="false" customHeight="false" outlineLevel="0" collapsed="false">
      <c r="A12" s="5"/>
      <c r="B12" s="5" t="s">
        <v>31</v>
      </c>
      <c r="C12" s="6" t="s">
        <v>13</v>
      </c>
      <c r="D12" s="6" t="s">
        <v>32</v>
      </c>
    </row>
    <row r="13" customFormat="false" ht="15" hidden="false" customHeight="false" outlineLevel="0" collapsed="false">
      <c r="A13" s="5"/>
      <c r="B13" s="5" t="s">
        <v>33</v>
      </c>
      <c r="C13" s="6" t="s">
        <v>13</v>
      </c>
      <c r="D13" s="6" t="s">
        <v>34</v>
      </c>
    </row>
    <row r="14" customFormat="false" ht="15" hidden="false" customHeight="false" outlineLevel="0" collapsed="false">
      <c r="A14" s="5" t="s">
        <v>35</v>
      </c>
      <c r="B14" s="5" t="s">
        <v>36</v>
      </c>
      <c r="C14" s="6" t="s">
        <v>37</v>
      </c>
      <c r="D14" s="6"/>
    </row>
    <row r="15" customFormat="false" ht="15" hidden="false" customHeight="false" outlineLevel="0" collapsed="false">
      <c r="A15" s="5"/>
      <c r="B15" s="5" t="s">
        <v>38</v>
      </c>
      <c r="C15" s="6" t="s">
        <v>37</v>
      </c>
      <c r="D15" s="6"/>
    </row>
    <row r="16" customFormat="false" ht="15" hidden="false" customHeight="false" outlineLevel="0" collapsed="false">
      <c r="A16" s="5" t="s">
        <v>39</v>
      </c>
      <c r="B16" s="5" t="s">
        <v>40</v>
      </c>
      <c r="C16" s="6" t="s">
        <v>41</v>
      </c>
      <c r="D16" s="6"/>
    </row>
    <row r="17" customFormat="false" ht="15" hidden="false" customHeight="false" outlineLevel="0" collapsed="false">
      <c r="A17" s="5"/>
      <c r="B17" s="5" t="s">
        <v>42</v>
      </c>
      <c r="C17" s="6" t="s">
        <v>43</v>
      </c>
      <c r="D17" s="6"/>
    </row>
    <row r="18" customFormat="false" ht="15" hidden="false" customHeight="false" outlineLevel="0" collapsed="false">
      <c r="A18" s="5"/>
      <c r="B18" s="5" t="s">
        <v>44</v>
      </c>
      <c r="C18" s="6" t="s">
        <v>13</v>
      </c>
      <c r="D18" s="6" t="s">
        <v>45</v>
      </c>
    </row>
    <row r="20" customFormat="false" ht="15" hidden="false" customHeight="false" outlineLevel="0" collapsed="false">
      <c r="A20" s="7" t="s">
        <v>46</v>
      </c>
      <c r="C20" s="3" t="n">
        <f aca="false">COUNTIF(C4:C18,"ADDED")</f>
        <v>7</v>
      </c>
    </row>
    <row r="22" customFormat="false" ht="15" hidden="false" customHeight="false" outlineLevel="0" collapsed="false">
      <c r="A22" s="7" t="s">
        <v>47</v>
      </c>
    </row>
    <row r="23" customFormat="false" ht="15" hidden="false" customHeight="false" outlineLevel="0" collapsed="false">
      <c r="A23" s="8" t="s">
        <v>48</v>
      </c>
    </row>
    <row r="24" customFormat="false" ht="15" hidden="false" customHeight="false" outlineLevel="0" collapsed="false">
      <c r="A24" s="3" t="s">
        <v>49</v>
      </c>
    </row>
    <row r="25" customFormat="false" ht="15" hidden="false" customHeight="false" outlineLevel="0" collapsed="false">
      <c r="A25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0"/>
    <col collapsed="false" customWidth="true" hidden="false" outlineLevel="0" max="3" min="3" style="0" width="10"/>
    <col collapsed="false" customWidth="true" hidden="false" outlineLevel="0" max="4" min="4" style="0" width="44"/>
  </cols>
  <sheetData>
    <row r="1" customFormat="false" ht="16.15" hidden="false" customHeight="false" outlineLevel="0" collapsed="false">
      <c r="A1" s="1" t="s">
        <v>51</v>
      </c>
    </row>
    <row r="3" customFormat="false" ht="15" hidden="false" customHeight="false" outlineLevel="0" collapsed="false">
      <c r="A3" s="4" t="s">
        <v>52</v>
      </c>
      <c r="B3" s="4" t="s">
        <v>53</v>
      </c>
      <c r="C3" s="4" t="s">
        <v>54</v>
      </c>
      <c r="D3" s="4" t="s">
        <v>55</v>
      </c>
    </row>
    <row r="4" customFormat="false" ht="15" hidden="false" customHeight="false" outlineLevel="0" collapsed="false">
      <c r="A4" s="5" t="s">
        <v>56</v>
      </c>
      <c r="B4" s="5" t="s">
        <v>57</v>
      </c>
      <c r="C4" s="6" t="s">
        <v>58</v>
      </c>
      <c r="D4" s="5" t="s">
        <v>59</v>
      </c>
    </row>
    <row r="5" customFormat="false" ht="15" hidden="false" customHeight="false" outlineLevel="0" collapsed="false">
      <c r="A5" s="5" t="s">
        <v>60</v>
      </c>
      <c r="B5" s="5" t="s">
        <v>61</v>
      </c>
      <c r="C5" s="6" t="s">
        <v>58</v>
      </c>
      <c r="D5" s="5" t="s">
        <v>62</v>
      </c>
    </row>
    <row r="6" customFormat="false" ht="15" hidden="false" customHeight="false" outlineLevel="0" collapsed="false">
      <c r="A6" s="5" t="s">
        <v>63</v>
      </c>
      <c r="B6" s="5" t="s">
        <v>64</v>
      </c>
      <c r="C6" s="6" t="s">
        <v>58</v>
      </c>
      <c r="D6" s="5" t="s">
        <v>62</v>
      </c>
    </row>
    <row r="7" customFormat="false" ht="15" hidden="false" customHeight="false" outlineLevel="0" collapsed="false">
      <c r="A7" s="5" t="s">
        <v>65</v>
      </c>
      <c r="B7" s="5" t="s">
        <v>66</v>
      </c>
      <c r="C7" s="6" t="s">
        <v>58</v>
      </c>
      <c r="D7" s="5" t="s">
        <v>67</v>
      </c>
    </row>
    <row r="8" customFormat="false" ht="15" hidden="false" customHeight="false" outlineLevel="0" collapsed="false">
      <c r="A8" s="5" t="s">
        <v>68</v>
      </c>
      <c r="B8" s="5" t="s">
        <v>69</v>
      </c>
      <c r="C8" s="6" t="s">
        <v>58</v>
      </c>
      <c r="D8" s="5" t="s">
        <v>70</v>
      </c>
    </row>
    <row r="9" customFormat="false" ht="15" hidden="false" customHeight="false" outlineLevel="0" collapsed="false">
      <c r="A9" s="5" t="s">
        <v>71</v>
      </c>
      <c r="B9" s="5" t="s">
        <v>72</v>
      </c>
      <c r="C9" s="6" t="s">
        <v>58</v>
      </c>
      <c r="D9" s="5" t="s">
        <v>73</v>
      </c>
    </row>
    <row r="10" customFormat="false" ht="15" hidden="false" customHeight="false" outlineLevel="0" collapsed="false">
      <c r="A10" s="5" t="s">
        <v>74</v>
      </c>
      <c r="B10" s="5" t="s">
        <v>75</v>
      </c>
      <c r="C10" s="6" t="s">
        <v>58</v>
      </c>
      <c r="D10" s="5" t="s">
        <v>70</v>
      </c>
    </row>
    <row r="11" customFormat="false" ht="15" hidden="false" customHeight="false" outlineLevel="0" collapsed="false">
      <c r="A11" s="5" t="s">
        <v>76</v>
      </c>
      <c r="B11" s="5" t="s">
        <v>77</v>
      </c>
      <c r="C11" s="6" t="s">
        <v>78</v>
      </c>
      <c r="D11" s="5" t="s">
        <v>79</v>
      </c>
    </row>
    <row r="12" customFormat="false" ht="15" hidden="false" customHeight="false" outlineLevel="0" collapsed="false">
      <c r="A12" s="5" t="s">
        <v>80</v>
      </c>
      <c r="B12" s="5" t="s">
        <v>81</v>
      </c>
      <c r="C12" s="6" t="s">
        <v>78</v>
      </c>
      <c r="D12" s="5" t="s">
        <v>82</v>
      </c>
    </row>
    <row r="13" customFormat="false" ht="15" hidden="false" customHeight="false" outlineLevel="0" collapsed="false">
      <c r="A13" s="5" t="s">
        <v>83</v>
      </c>
      <c r="B13" s="5" t="s">
        <v>84</v>
      </c>
      <c r="C13" s="6" t="s">
        <v>85</v>
      </c>
      <c r="D13" s="5" t="s">
        <v>86</v>
      </c>
    </row>
    <row r="14" customFormat="false" ht="15" hidden="false" customHeight="false" outlineLevel="0" collapsed="false">
      <c r="A14" s="5" t="s">
        <v>87</v>
      </c>
      <c r="B14" s="5" t="s">
        <v>88</v>
      </c>
      <c r="C14" s="6" t="s">
        <v>78</v>
      </c>
      <c r="D14" s="5" t="s">
        <v>89</v>
      </c>
    </row>
    <row r="15" customFormat="false" ht="23.85" hidden="false" customHeight="false" outlineLevel="0" collapsed="false">
      <c r="A15" s="5" t="s">
        <v>90</v>
      </c>
      <c r="B15" s="5" t="s">
        <v>91</v>
      </c>
      <c r="C15" s="6" t="s">
        <v>78</v>
      </c>
      <c r="D15" s="5" t="s">
        <v>92</v>
      </c>
    </row>
    <row r="16" customFormat="false" ht="15" hidden="false" customHeight="false" outlineLevel="0" collapsed="false">
      <c r="A16" s="5" t="s">
        <v>93</v>
      </c>
      <c r="B16" s="5" t="s">
        <v>94</v>
      </c>
      <c r="C16" s="6" t="s">
        <v>85</v>
      </c>
      <c r="D16" s="5" t="s">
        <v>95</v>
      </c>
    </row>
    <row r="17" customFormat="false" ht="15" hidden="false" customHeight="false" outlineLevel="0" collapsed="false">
      <c r="A17" s="5" t="s">
        <v>96</v>
      </c>
      <c r="B17" s="5" t="s">
        <v>97</v>
      </c>
      <c r="C17" s="6" t="s">
        <v>98</v>
      </c>
      <c r="D17" s="5" t="s">
        <v>99</v>
      </c>
    </row>
    <row r="18" customFormat="false" ht="23.85" hidden="false" customHeight="false" outlineLevel="0" collapsed="false">
      <c r="A18" s="5" t="s">
        <v>100</v>
      </c>
      <c r="B18" s="5" t="s">
        <v>101</v>
      </c>
      <c r="C18" s="6" t="s">
        <v>78</v>
      </c>
      <c r="D18" s="5" t="s">
        <v>102</v>
      </c>
    </row>
    <row r="20" customFormat="false" ht="15" hidden="false" customHeight="false" outlineLevel="0" collapsed="false">
      <c r="A20" s="7" t="s">
        <v>103</v>
      </c>
    </row>
    <row r="21" customFormat="false" ht="15" hidden="false" customHeight="false" outlineLevel="0" collapsed="false">
      <c r="A21" s="3" t="s">
        <v>58</v>
      </c>
      <c r="B21" s="3" t="n">
        <f aca="false">COUNTIF($C$4:$C$18,A21)</f>
        <v>7</v>
      </c>
    </row>
    <row r="22" customFormat="false" ht="15" hidden="false" customHeight="false" outlineLevel="0" collapsed="false">
      <c r="A22" s="3" t="s">
        <v>78</v>
      </c>
      <c r="B22" s="3" t="n">
        <f aca="false">COUNTIF($C$4:$C$18,A22)</f>
        <v>5</v>
      </c>
    </row>
    <row r="23" customFormat="false" ht="15" hidden="false" customHeight="false" outlineLevel="0" collapsed="false">
      <c r="A23" s="3" t="s">
        <v>85</v>
      </c>
      <c r="B23" s="3" t="n">
        <f aca="false">COUNTIF($C$4:$C$18,A23)</f>
        <v>2</v>
      </c>
    </row>
    <row r="24" customFormat="false" ht="15" hidden="false" customHeight="false" outlineLevel="0" collapsed="false">
      <c r="A24" s="3" t="s">
        <v>98</v>
      </c>
      <c r="B24" s="3" t="n">
        <f aca="false">COUNTIF($C$4:$C$18,A24)</f>
        <v>1</v>
      </c>
    </row>
    <row r="25" customFormat="false" ht="15" hidden="false" customHeight="false" outlineLevel="0" collapsed="false">
      <c r="A25" s="3" t="s">
        <v>104</v>
      </c>
      <c r="B25" s="3" t="n">
        <f aca="false">COUNTA(A4:A18)</f>
        <v>15</v>
      </c>
    </row>
    <row r="26" customFormat="false" ht="15" hidden="false" customHeight="false" outlineLevel="0" collapsed="false">
      <c r="A26" s="3" t="s">
        <v>105</v>
      </c>
      <c r="B26" s="9" t="n">
        <f aca="false">B21/B25</f>
        <v>0.466666666666667</v>
      </c>
      <c r="C26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00"/>
  </cols>
  <sheetData>
    <row r="1" customFormat="false" ht="16.15" hidden="false" customHeight="false" outlineLevel="0" collapsed="false">
      <c r="A1" s="1" t="s">
        <v>107</v>
      </c>
    </row>
    <row r="3" customFormat="false" ht="15" hidden="false" customHeight="false" outlineLevel="0" collapsed="false">
      <c r="A3" s="4" t="s">
        <v>108</v>
      </c>
      <c r="B3" s="4" t="s">
        <v>109</v>
      </c>
      <c r="C3" s="4" t="s">
        <v>110</v>
      </c>
    </row>
    <row r="4" customFormat="false" ht="23.85" hidden="false" customHeight="false" outlineLevel="0" collapsed="false">
      <c r="A4" s="5" t="s">
        <v>65</v>
      </c>
      <c r="B4" s="5" t="s">
        <v>111</v>
      </c>
      <c r="C4" s="6" t="s">
        <v>112</v>
      </c>
    </row>
    <row r="5" customFormat="false" ht="23.85" hidden="false" customHeight="false" outlineLevel="0" collapsed="false">
      <c r="A5" s="5" t="s">
        <v>68</v>
      </c>
      <c r="B5" s="5" t="s">
        <v>113</v>
      </c>
      <c r="C5" s="6" t="s">
        <v>114</v>
      </c>
    </row>
    <row r="6" customFormat="false" ht="23.85" hidden="false" customHeight="false" outlineLevel="0" collapsed="false">
      <c r="A6" s="5" t="s">
        <v>71</v>
      </c>
      <c r="B6" s="5" t="s">
        <v>115</v>
      </c>
      <c r="C6" s="6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4" t="s">
        <v>118</v>
      </c>
      <c r="B3" s="4" t="s">
        <v>119</v>
      </c>
    </row>
    <row r="4" customFormat="false" ht="23.85" hidden="false" customHeight="false" outlineLevel="0" collapsed="false">
      <c r="A4" s="5" t="s">
        <v>120</v>
      </c>
      <c r="B4" s="6" t="s">
        <v>121</v>
      </c>
    </row>
    <row r="5" customFormat="false" ht="15" hidden="false" customHeight="false" outlineLevel="0" collapsed="false">
      <c r="A5" s="5" t="s">
        <v>122</v>
      </c>
      <c r="B5" s="6" t="s">
        <v>123</v>
      </c>
    </row>
    <row r="6" customFormat="false" ht="15" hidden="false" customHeight="false" outlineLevel="0" collapsed="false">
      <c r="A6" s="5" t="s">
        <v>124</v>
      </c>
      <c r="B6" s="6" t="s">
        <v>125</v>
      </c>
    </row>
    <row r="7" customFormat="false" ht="15" hidden="false" customHeight="false" outlineLevel="0" collapsed="false">
      <c r="A7" s="5" t="s">
        <v>126</v>
      </c>
      <c r="B7" s="6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4" min="3" style="0" width="44"/>
  </cols>
  <sheetData>
    <row r="1" customFormat="false" ht="16.1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4" t="s">
        <v>130</v>
      </c>
      <c r="B4" s="4" t="s">
        <v>131</v>
      </c>
      <c r="C4" s="4" t="s">
        <v>132</v>
      </c>
      <c r="D4" s="4" t="s">
        <v>133</v>
      </c>
    </row>
    <row r="5" customFormat="false" ht="15" hidden="false" customHeight="false" outlineLevel="0" collapsed="false">
      <c r="A5" s="5" t="n">
        <v>1</v>
      </c>
      <c r="B5" s="6" t="s">
        <v>134</v>
      </c>
      <c r="C5" s="6" t="s">
        <v>135</v>
      </c>
      <c r="D5" s="6" t="s">
        <v>136</v>
      </c>
    </row>
    <row r="6" customFormat="false" ht="23.85" hidden="false" customHeight="false" outlineLevel="0" collapsed="false">
      <c r="A6" s="5" t="n">
        <v>2</v>
      </c>
      <c r="B6" s="6" t="s">
        <v>137</v>
      </c>
      <c r="C6" s="6" t="s">
        <v>138</v>
      </c>
      <c r="D6" s="6" t="s">
        <v>139</v>
      </c>
    </row>
    <row r="7" customFormat="false" ht="15" hidden="false" customHeight="false" outlineLevel="0" collapsed="false">
      <c r="A7" s="5" t="n">
        <v>3</v>
      </c>
      <c r="B7" s="6" t="s">
        <v>140</v>
      </c>
      <c r="C7" s="6" t="s">
        <v>141</v>
      </c>
      <c r="D7" s="6" t="s">
        <v>142</v>
      </c>
    </row>
    <row r="8" customFormat="false" ht="23.85" hidden="false" customHeight="false" outlineLevel="0" collapsed="false">
      <c r="A8" s="5" t="n">
        <v>4</v>
      </c>
      <c r="B8" s="6" t="s">
        <v>143</v>
      </c>
      <c r="C8" s="6" t="s">
        <v>144</v>
      </c>
      <c r="D8" s="6" t="s">
        <v>145</v>
      </c>
    </row>
    <row r="9" customFormat="false" ht="15" hidden="false" customHeight="false" outlineLevel="0" collapsed="false">
      <c r="A9" s="5" t="n">
        <v>5</v>
      </c>
      <c r="B9" s="6" t="s">
        <v>146</v>
      </c>
      <c r="C9" s="6" t="s">
        <v>147</v>
      </c>
      <c r="D9" s="6" t="s">
        <v>148</v>
      </c>
    </row>
    <row r="11" customFormat="false" ht="15" hidden="false" customHeight="false" outlineLevel="0" collapsed="false">
      <c r="A11" s="3" t="s">
        <v>149</v>
      </c>
      <c r="B11" s="3" t="n">
        <f aca="false">COUNTA(A5:A9)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2026-10-05T04:49:18Z</dcterms:created>
  <dc:creator>openpyxl</dc:creator>
  <dc:description/>
  <dc:language>en-US</dc:language>
  <cp:lastModifiedBy/>
  <dcterms:modified xsi:type="dcterms:W3CDTF">2026-10-05T04:49:18Z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